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고객 입력" sheetId="1" state="visible" r:id="rId1"/>
    <sheet name="Compute Engine 세부 견적" sheetId="2" state="visible" r:id="rId2"/>
    <sheet name="Cloud Storage 세부 견적" sheetId="3" state="visible" r:id="rId3"/>
    <sheet name="Cloud SQL 세부 견적" sheetId="4" state="visible" r:id="rId4"/>
    <sheet name="Networking 세부 견적" sheetId="5" state="visible" r:id="rId5"/>
    <sheet name="최종 견적 요약" sheetId="6" state="visible" r:id="rId6"/>
    <sheet name="단가표" sheetId="7" state="hidden" r:id="rId7"/>
  </sheets>
  <definedNames>
    <definedName name="EXCHANGE_RATE">'고객 입력'!$B$3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₩&quot;#,##0"/>
  </numFmts>
  <fonts count="11">
    <font>
      <name val="Calibri"/>
      <family val="2"/>
      <color theme="1"/>
      <sz val="11"/>
      <scheme val="minor"/>
    </font>
    <font>
      <b val="1"/>
      <color rgb="001155CC"/>
    </font>
    <font>
      <b val="1"/>
      <color rgb="00FFFFFF"/>
    </font>
    <font>
      <b val="1"/>
      <color rgb="001A73E8"/>
      <sz val="14"/>
    </font>
    <font>
      <b val="1"/>
      <color rgb="00202124"/>
    </font>
    <font>
      <b val="1"/>
      <color rgb="001A73E8"/>
      <sz val="16"/>
    </font>
    <font>
      <b val="1"/>
    </font>
    <font>
      <b val="1"/>
      <color rgb="00B45309"/>
    </font>
    <font>
      <b val="1"/>
      <sz val="12"/>
    </font>
    <font>
      <b val="1"/>
      <color rgb="00137333"/>
      <sz val="12"/>
    </font>
    <font>
      <i val="1"/>
      <color rgb="005F6368"/>
      <sz val="9"/>
    </font>
  </fonts>
  <fills count="8">
    <fill>
      <patternFill/>
    </fill>
    <fill>
      <patternFill patternType="gray125"/>
    </fill>
    <fill>
      <patternFill patternType="solid">
        <fgColor rgb="004285F4"/>
        <bgColor rgb="004285F4"/>
      </patternFill>
    </fill>
    <fill>
      <patternFill patternType="solid">
        <fgColor rgb="00E8EAED"/>
        <bgColor rgb="00E8EAED"/>
      </patternFill>
    </fill>
    <fill>
      <patternFill patternType="solid">
        <fgColor rgb="00E8F0FE"/>
        <bgColor rgb="00E8F0FE"/>
      </patternFill>
    </fill>
    <fill>
      <patternFill patternType="solid">
        <fgColor rgb="00D2E3FC"/>
        <bgColor rgb="00D2E3FC"/>
      </patternFill>
    </fill>
    <fill>
      <patternFill patternType="solid">
        <fgColor rgb="00FCE8B2"/>
        <bgColor rgb="00FCE8B2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  <xf numFmtId="0" fontId="7" fillId="6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1" pivotButton="0" quotePrefix="0" xfId="0"/>
    <xf numFmtId="164" fontId="9" fillId="7" borderId="1" pivotButton="0" quotePrefix="0" xfId="0"/>
    <xf numFmtId="165" fontId="9" fillId="7" borderId="1" pivotButton="0" quotePrefix="0" xfId="0"/>
    <xf numFmtId="0" fontId="10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1">
    <dxf>
      <font>
        <b val="1"/>
        <color rgb="00D9302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GCP 견적 입력 시트</t>
        </is>
      </c>
    </row>
    <row r="2">
      <c r="A2" s="2" t="inlineStr">
        <is>
          <t>▶  기본 설정</t>
        </is>
      </c>
      <c r="B2" s="3" t="n"/>
    </row>
    <row r="3">
      <c r="A3" s="4" t="inlineStr">
        <is>
          <t>기준 환율 (USD → KRW)</t>
        </is>
      </c>
      <c r="B3" s="5" t="n">
        <v>1350</v>
      </c>
    </row>
    <row r="4">
      <c r="A4" s="4" t="inlineStr">
        <is>
          <t>기준 리전</t>
        </is>
      </c>
      <c r="B4" s="5" t="inlineStr">
        <is>
          <t>asia-northeast3</t>
        </is>
      </c>
    </row>
    <row r="5">
      <c r="A5" s="4" t="inlineStr">
        <is>
          <t>견적 기준일</t>
        </is>
      </c>
      <c r="B5" s="5" t="inlineStr">
        <is>
          <t>2026-04-06</t>
        </is>
      </c>
    </row>
    <row r="6">
      <c r="A6" s="2" t="inlineStr">
        <is>
          <t>▶  서버 및 스토리지</t>
        </is>
      </c>
      <c r="B6" s="3" t="n"/>
    </row>
    <row r="7">
      <c r="A7" s="4" t="inlineStr">
        <is>
          <t>서버 규모 (소형/중형/대형/초대형)</t>
        </is>
      </c>
      <c r="B7" s="5" t="inlineStr">
        <is>
          <t>중형</t>
        </is>
      </c>
    </row>
    <row r="8">
      <c r="A8" s="4" t="inlineStr">
        <is>
          <t>서버 대수</t>
        </is>
      </c>
      <c r="B8" s="5" t="n">
        <v>2</v>
      </c>
    </row>
    <row r="9">
      <c r="A9" s="4" t="inlineStr">
        <is>
          <t>사용 OS</t>
        </is>
      </c>
      <c r="B9" s="5" t="inlineStr">
        <is>
          <t>무료 리눅스</t>
        </is>
      </c>
    </row>
    <row r="10">
      <c r="A10" s="4" t="inlineStr">
        <is>
          <t>하루 운영 시간</t>
        </is>
      </c>
      <c r="B10" s="5" t="inlineStr">
        <is>
          <t>24h</t>
        </is>
      </c>
    </row>
    <row r="11">
      <c r="A11" s="4" t="inlineStr">
        <is>
          <t>데이터 저장 용량 (GB)</t>
        </is>
      </c>
      <c r="B11" s="5" t="n">
        <v>500</v>
      </c>
    </row>
    <row r="12">
      <c r="A12" s="2" t="inlineStr">
        <is>
          <t>▶  데이터베이스 및 네트워크</t>
        </is>
      </c>
      <c r="B12" s="3" t="n"/>
    </row>
    <row r="13">
      <c r="A13" s="4" t="inlineStr">
        <is>
          <t>DB 규모 (소형/중형/대형)</t>
        </is>
      </c>
      <c r="B13" s="5" t="inlineStr">
        <is>
          <t>중형</t>
        </is>
      </c>
    </row>
    <row r="14">
      <c r="A14" s="4" t="inlineStr">
        <is>
          <t>DB 고가용성(HA) 필요 여부</t>
        </is>
      </c>
      <c r="B14" s="5" t="inlineStr">
        <is>
          <t>예</t>
        </is>
      </c>
    </row>
    <row r="15">
      <c r="A15" s="4" t="inlineStr">
        <is>
          <t>DB 라이선스</t>
        </is>
      </c>
      <c r="B15" s="5" t="inlineStr">
        <is>
          <t>무료 PostgreSQL</t>
        </is>
      </c>
    </row>
    <row r="16">
      <c r="A16" s="4" t="inlineStr">
        <is>
          <t>외부 인터넷 전송량 (GB/월)</t>
        </is>
      </c>
      <c r="B16" s="5" t="n">
        <v>100</v>
      </c>
    </row>
    <row r="17">
      <c r="A17" s="4" t="inlineStr">
        <is>
          <t>백업 필요 여부 (스냅샷)</t>
        </is>
      </c>
      <c r="B17" s="5" t="inlineStr">
        <is>
          <t>예</t>
        </is>
      </c>
    </row>
    <row r="18">
      <c r="A18" s="4" t="inlineStr">
        <is>
          <t>동시 접속자 수 (참고용)</t>
        </is>
      </c>
      <c r="B18" s="5" t="n">
        <v>1000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8">
    <dataValidation sqref="B4" showDropDown="0" showInputMessage="0" showErrorMessage="0" allowBlank="0" type="list">
      <formula1>"asia-northeast3,asia-northeast1,asia-east1,us-central1"</formula1>
    </dataValidation>
    <dataValidation sqref="B7" showDropDown="0" showInputMessage="0" showErrorMessage="0" allowBlank="0" type="list">
      <formula1>"소형,중형,대형,초대형"</formula1>
    </dataValidation>
    <dataValidation sqref="B9" showDropDown="0" showInputMessage="0" showErrorMessage="0" allowBlank="0" type="list">
      <formula1>"무료 리눅스,Windows"</formula1>
    </dataValidation>
    <dataValidation sqref="B10" showDropDown="0" showInputMessage="0" showErrorMessage="0" allowBlank="0" type="list">
      <formula1>"8h,12h,24h"</formula1>
    </dataValidation>
    <dataValidation sqref="B13" showDropDown="0" showInputMessage="0" showErrorMessage="0" allowBlank="0" type="list">
      <formula1>"소형,중형,대형"</formula1>
    </dataValidation>
    <dataValidation sqref="B14 B17" showDropDown="0" showInputMessage="0" showErrorMessage="0" allowBlank="0" type="list">
      <formula1>"예,아니오"</formula1>
    </dataValidation>
    <dataValidation sqref="B15" showDropDown="0" showInputMessage="0" showErrorMessage="0" allowBlank="0" type="list">
      <formula1>"무료 PostgreSQL,MS SQL"</formula1>
    </dataValidation>
    <dataValidation sqref="B14 B17" showDropDown="0" showInputMessage="0" showErrorMessage="0" allowBlank="0" type="list">
      <formula1>"예,아니오"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6" t="inlineStr">
        <is>
          <t>항목</t>
        </is>
      </c>
      <c r="B1" s="6" t="inlineStr">
        <is>
          <t>값 / 수식</t>
        </is>
      </c>
    </row>
    <row r="2">
      <c r="A2" s="7" t="inlineStr">
        <is>
          <t>서버 규모</t>
        </is>
      </c>
      <c r="B2" s="8">
        <f>'고객 입력'!B7</f>
        <v/>
      </c>
    </row>
    <row r="3">
      <c r="A3" s="7" t="inlineStr">
        <is>
          <t>인스턴스 스펙</t>
        </is>
      </c>
      <c r="B3" s="8">
        <f>VLOOKUP(B2, 단가표!$A$3:$D$6, 2, FALSE)</f>
        <v/>
      </c>
    </row>
    <row r="4">
      <c r="A4" s="7" t="inlineStr">
        <is>
          <t>서버 대수</t>
        </is>
      </c>
      <c r="B4" s="8">
        <f>'고객 입력'!B8</f>
        <v/>
      </c>
    </row>
    <row r="5">
      <c r="A5" s="7" t="inlineStr">
        <is>
          <t>OS 선택</t>
        </is>
      </c>
      <c r="B5" s="8">
        <f>'고객 입력'!B9</f>
        <v/>
      </c>
    </row>
    <row r="6">
      <c r="A6" s="7" t="inlineStr">
        <is>
          <t>월 운영시간 (H)</t>
        </is>
      </c>
      <c r="B6" s="8">
        <f>IF('고객 입력'!B10="8h", 240, IF('고객 입력'!B10="12h", 360, 730))</f>
        <v/>
      </c>
    </row>
    <row r="7">
      <c r="A7" s="7" t="inlineStr">
        <is>
          <t>시간당 Linux 단가($)</t>
        </is>
      </c>
      <c r="B7" s="8">
        <f>VLOOKUP(B2, 단가표!$A$3:$D$6, 3, FALSE)</f>
        <v/>
      </c>
    </row>
    <row r="8">
      <c r="A8" s="7" t="inlineStr">
        <is>
          <t>시간당 OS 추가단가($)</t>
        </is>
      </c>
      <c r="B8" s="8">
        <f>IF(B4="Windows", VLOOKUP(B2, 단가표!$A$3:$D$6, 4, FALSE), 0)</f>
        <v/>
      </c>
    </row>
    <row r="9">
      <c r="A9" s="7" t="inlineStr">
        <is>
          <t>월 합계 (USD)</t>
        </is>
      </c>
      <c r="B9" s="9">
        <f>(B7+B8)*B6*B4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6" t="inlineStr">
        <is>
          <t>항목</t>
        </is>
      </c>
      <c r="B1" s="6" t="inlineStr">
        <is>
          <t>값 / 수식</t>
        </is>
      </c>
    </row>
    <row r="2">
      <c r="A2" s="7" t="inlineStr">
        <is>
          <t>저장 용량 (GB)</t>
        </is>
      </c>
      <c r="B2" s="8">
        <f>'고객 입력'!B11</f>
        <v/>
      </c>
    </row>
    <row r="3">
      <c r="A3" s="7" t="inlineStr">
        <is>
          <t>백업 여부</t>
        </is>
      </c>
      <c r="B3" s="8">
        <f>'고객 입력'!B17</f>
        <v/>
      </c>
    </row>
    <row r="4">
      <c r="A4" s="7" t="inlineStr">
        <is>
          <t>Standard 단가 ($/GB)</t>
        </is>
      </c>
      <c r="B4" s="8">
        <f>VLOOKUP("Storage Standard", 단가표!$A$16:$B$18, 2, FALSE)</f>
        <v/>
      </c>
    </row>
    <row r="5">
      <c r="A5" s="7" t="inlineStr">
        <is>
          <t>Snapshot 단가 ($/GB)</t>
        </is>
      </c>
      <c r="B5" s="8">
        <f>VLOOKUP("Storage Snapshot", 단가표!$A$16:$B$18, 2, FALSE)</f>
        <v/>
      </c>
    </row>
    <row r="6">
      <c r="A6" s="7" t="inlineStr">
        <is>
          <t>월 합계 (USD)</t>
        </is>
      </c>
      <c r="B6" s="9">
        <f>B2*B4 + IF(B3="예", B2*B5,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6" t="inlineStr">
        <is>
          <t>항목</t>
        </is>
      </c>
      <c r="B1" s="6" t="inlineStr">
        <is>
          <t>값 / 수식</t>
        </is>
      </c>
    </row>
    <row r="2">
      <c r="A2" s="7" t="inlineStr">
        <is>
          <t>DB 규모</t>
        </is>
      </c>
      <c r="B2" s="8">
        <f>'고객 입력'!B13</f>
        <v/>
      </c>
    </row>
    <row r="3">
      <c r="A3" s="7" t="inlineStr">
        <is>
          <t>인스턴스 스펙</t>
        </is>
      </c>
      <c r="B3" s="8">
        <f>VLOOKUP(B2, 단가표!$A$10:$D$12, 2, FALSE)</f>
        <v/>
      </c>
    </row>
    <row r="4">
      <c r="A4" s="7" t="inlineStr">
        <is>
          <t>월 운영시간 (H)</t>
        </is>
      </c>
      <c r="B4" s="8">
        <f>730</f>
        <v/>
      </c>
    </row>
    <row r="5">
      <c r="A5" s="7" t="inlineStr">
        <is>
          <t>HA (고가용성) 여부</t>
        </is>
      </c>
      <c r="B5" s="8">
        <f>'고객 입력'!B14</f>
        <v/>
      </c>
    </row>
    <row r="6">
      <c r="A6" s="7" t="inlineStr">
        <is>
          <t>DB 라이선스</t>
        </is>
      </c>
      <c r="B6" s="8">
        <f>'고객 입력'!B15</f>
        <v/>
      </c>
    </row>
    <row r="7">
      <c r="A7" s="7" t="inlineStr">
        <is>
          <t>시간당 Base 단가 ($)</t>
        </is>
      </c>
      <c r="B7" s="8">
        <f>VLOOKUP(B2, 단가표!$A$10:$D$12, 3, FALSE)</f>
        <v/>
      </c>
    </row>
    <row r="8">
      <c r="A8" s="7" t="inlineStr">
        <is>
          <t>시간당 License 단가 ($)</t>
        </is>
      </c>
      <c r="B8" s="8">
        <f>IF(B6="MS SQL", VLOOKUP(B2, 단가표!$A$10:$D$12, 4, FALSE), 0)</f>
        <v/>
      </c>
    </row>
    <row r="9">
      <c r="A9" s="7" t="inlineStr">
        <is>
          <t>월 합계 (USD)</t>
        </is>
      </c>
      <c r="B9" s="9">
        <f>(B7+B8)*B4*IF(B5="예", 2, 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6" t="inlineStr">
        <is>
          <t>항목</t>
        </is>
      </c>
      <c r="B1" s="6" t="inlineStr">
        <is>
          <t>값 / 수식</t>
        </is>
      </c>
    </row>
    <row r="2">
      <c r="A2" s="7" t="inlineStr">
        <is>
          <t>외부 전송량 (GB/월)</t>
        </is>
      </c>
      <c r="B2" s="8">
        <f>'고객 입력'!B16</f>
        <v/>
      </c>
    </row>
    <row r="3">
      <c r="A3" s="7" t="inlineStr">
        <is>
          <t>GB당 Egress 단가 ($)</t>
        </is>
      </c>
      <c r="B3" s="8">
        <f>VLOOKUP("Network Egress", 단가표!$A$16:$B$18, 2, FALSE)</f>
        <v/>
      </c>
    </row>
    <row r="4">
      <c r="A4" s="7" t="inlineStr">
        <is>
          <t>월 합계 (USD)</t>
        </is>
      </c>
      <c r="B4" s="9">
        <f>B2*B3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6" customWidth="1" min="4" max="4"/>
    <col width="20" customWidth="1" min="5" max="5"/>
    <col width="20" customWidth="1" min="6" max="6"/>
  </cols>
  <sheetData>
    <row r="1">
      <c r="A1" s="10" t="inlineStr">
        <is>
          <t>Google Cloud Platform 공식 견적서</t>
        </is>
      </c>
    </row>
    <row r="2">
      <c r="A2" s="11" t="inlineStr">
        <is>
          <t>견적 기준일</t>
        </is>
      </c>
      <c r="B2">
        <f>'고객 입력'!B5</f>
        <v/>
      </c>
      <c r="D2" s="11" t="inlineStr">
        <is>
          <t>적용 환율 (KRW/USD)</t>
        </is>
      </c>
      <c r="E2">
        <f>EXCHANGE_RATE</f>
        <v/>
      </c>
      <c r="F2" t="inlineStr">
        <is>
          <t>원</t>
        </is>
      </c>
    </row>
    <row r="3">
      <c r="A3" s="11" t="inlineStr">
        <is>
          <t>선택 리전</t>
        </is>
      </c>
      <c r="B3">
        <f>'고객 입력'!B4</f>
        <v/>
      </c>
    </row>
    <row r="5">
      <c r="A5" s="6" t="inlineStr">
        <is>
          <t>서비스명 (GCP)</t>
        </is>
      </c>
      <c r="B5" s="6" t="inlineStr">
        <is>
          <t>스펙 / 상세</t>
        </is>
      </c>
      <c r="C5" s="6" t="inlineStr">
        <is>
          <t>수량</t>
        </is>
      </c>
      <c r="D5" s="6" t="inlineStr">
        <is>
          <t>시간당 단가 (USD)</t>
        </is>
      </c>
      <c r="E5" s="6" t="inlineStr">
        <is>
          <t>월 비용 (USD)</t>
        </is>
      </c>
      <c r="F5" s="6" t="inlineStr">
        <is>
          <t>월 비용 (KRW)</t>
        </is>
      </c>
    </row>
    <row r="6">
      <c r="A6" t="inlineStr">
        <is>
          <t>Compute Engine</t>
        </is>
      </c>
      <c r="B6">
        <f>'Compute Engine 세부 견적'!B3</f>
        <v/>
      </c>
      <c r="C6">
        <f>'Compute Engine 세부 견적'!B4</f>
        <v/>
      </c>
      <c r="D6" s="12">
        <f>'Compute Engine 세부 견적'!B7</f>
        <v/>
      </c>
      <c r="E6" s="12">
        <f>'Compute Engine 세부 견적'!B9</f>
        <v/>
      </c>
      <c r="F6" s="13">
        <f>E6*EXCHANGE_RATE</f>
        <v/>
      </c>
    </row>
    <row r="7">
      <c r="A7" t="inlineStr">
        <is>
          <t>Cloud Storage</t>
        </is>
      </c>
      <c r="B7" t="inlineStr">
        <is>
          <t>Standard + Snapshot</t>
        </is>
      </c>
      <c r="C7" t="inlineStr">
        <is>
          <t>1 식</t>
        </is>
      </c>
      <c r="D7" s="12" t="inlineStr">
        <is>
          <t>-</t>
        </is>
      </c>
      <c r="E7" s="12">
        <f>'Cloud Storage 세부 견적'!B6</f>
        <v/>
      </c>
      <c r="F7" s="13">
        <f>E7*EXCHANGE_RATE</f>
        <v/>
      </c>
    </row>
    <row r="8">
      <c r="A8" t="inlineStr">
        <is>
          <t>Cloud SQL</t>
        </is>
      </c>
      <c r="B8">
        <f>'Cloud SQL 세부 견적'!B3</f>
        <v/>
      </c>
      <c r="C8" t="inlineStr">
        <is>
          <t>1 식</t>
        </is>
      </c>
      <c r="D8" s="12">
        <f>'Cloud SQL 세부 견적'!B7</f>
        <v/>
      </c>
      <c r="E8" s="12">
        <f>'Cloud SQL 세부 견적'!B9</f>
        <v/>
      </c>
      <c r="F8" s="13">
        <f>E8*EXCHANGE_RATE</f>
        <v/>
      </c>
    </row>
    <row r="9">
      <c r="A9" t="inlineStr">
        <is>
          <t>Network Egress</t>
        </is>
      </c>
      <c r="B9" t="inlineStr">
        <is>
          <t>인터넷 외부 전송</t>
        </is>
      </c>
      <c r="C9">
        <f>'Networking 세부 견적'!B2</f>
        <v/>
      </c>
      <c r="D9" s="12">
        <f>'Networking 세부 견적'!B3</f>
        <v/>
      </c>
      <c r="E9" s="12">
        <f>'Networking 세부 견적'!B4</f>
        <v/>
      </c>
      <c r="F9" s="13">
        <f>E9*EXCHANGE_RATE</f>
        <v/>
      </c>
    </row>
    <row r="10">
      <c r="A10" s="14" t="inlineStr">
        <is>
          <t>종량제 (On-Demand) 소계</t>
        </is>
      </c>
      <c r="B10" s="14" t="inlineStr"/>
      <c r="C10" s="14" t="inlineStr"/>
      <c r="D10" s="15" t="inlineStr"/>
      <c r="E10" s="15">
        <f>SUM(E6:E9)</f>
        <v/>
      </c>
      <c r="F10" s="16">
        <f>SUM(F6:F9)</f>
        <v/>
      </c>
    </row>
    <row r="12">
      <c r="A12" s="17" t="inlineStr">
        <is>
          <t>장기 약정 할인 (Committed Use Discount, CUD)</t>
        </is>
      </c>
    </row>
    <row r="13">
      <c r="A13" s="18" t="inlineStr">
        <is>
          <t>약정 기간</t>
        </is>
      </c>
      <c r="B13" s="18" t="inlineStr">
        <is>
          <t>예상 할인율 (수정 가능)</t>
        </is>
      </c>
      <c r="C13" s="18" t="inlineStr"/>
      <c r="D13" s="18" t="inlineStr"/>
      <c r="E13" s="18" t="inlineStr">
        <is>
          <t>할인 적용 월비용 (USD)</t>
        </is>
      </c>
      <c r="F13" s="18" t="inlineStr">
        <is>
          <t>할인 적용 월비용 (KRW)</t>
        </is>
      </c>
    </row>
    <row r="14">
      <c r="A14" s="8" t="inlineStr">
        <is>
          <t>1년 약정 (1-Year CUD)</t>
        </is>
      </c>
      <c r="B14" s="19" t="n">
        <v>0.28</v>
      </c>
      <c r="C14" s="8" t="inlineStr"/>
      <c r="D14" s="8" t="inlineStr"/>
      <c r="E14" s="9">
        <f>E10*(1-B14)</f>
        <v/>
      </c>
      <c r="F14" s="20">
        <f>F10*(1-B14)</f>
        <v/>
      </c>
    </row>
    <row r="15">
      <c r="A15" s="8" t="inlineStr">
        <is>
          <t>3년 약정 (3-Year CUD)</t>
        </is>
      </c>
      <c r="B15" s="19" t="n">
        <v>0.46</v>
      </c>
      <c r="C15" s="8" t="inlineStr"/>
      <c r="D15" s="8" t="inlineStr"/>
      <c r="E15" s="9">
        <f>E10*(1-B15)</f>
        <v/>
      </c>
      <c r="F15" s="20">
        <f>F10*(1-B15)</f>
        <v/>
      </c>
    </row>
    <row r="17">
      <c r="A17" s="21" t="inlineStr">
        <is>
          <t>총 연간 예상 비용 (3년 약정 기준)</t>
        </is>
      </c>
      <c r="B17" s="22" t="n"/>
      <c r="C17" s="22" t="n"/>
      <c r="D17" s="22" t="n"/>
      <c r="E17" s="23">
        <f>E15*12</f>
        <v/>
      </c>
      <c r="F17" s="24">
        <f>F15*12</f>
        <v/>
      </c>
    </row>
    <row r="19">
      <c r="A19" s="25" t="inlineStr">
        <is>
          <t>※ 본 견적은 GCP 공식 가격 기준이며, 실제 청구 금액은 사용 패턴에 따라 달라질 수 있습니다.</t>
        </is>
      </c>
    </row>
  </sheetData>
  <mergeCells count="4">
    <mergeCell ref="A19:F19"/>
    <mergeCell ref="A17:D17"/>
    <mergeCell ref="A1:F1"/>
    <mergeCell ref="A12:F12"/>
  </mergeCells>
  <conditionalFormatting sqref="E6:E9">
    <cfRule type="cellIs" priority="1" operator="greaterThan" dxfId="0">
      <formula>500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6" t="inlineStr">
        <is>
          <t>[Compute Engine] — asia-northeast3 기준 On-Demand (USD/시간)</t>
        </is>
      </c>
    </row>
    <row r="2">
      <c r="A2" s="27" t="inlineStr">
        <is>
          <t>규모</t>
        </is>
      </c>
      <c r="B2" s="27" t="inlineStr">
        <is>
          <t>스펙</t>
        </is>
      </c>
      <c r="C2" s="27" t="inlineStr">
        <is>
          <t>Linux단가</t>
        </is>
      </c>
      <c r="D2" s="27" t="inlineStr">
        <is>
          <t>Windows추가단가</t>
        </is>
      </c>
    </row>
    <row r="3">
      <c r="A3" t="inlineStr">
        <is>
          <t>소형</t>
        </is>
      </c>
      <c r="B3" t="inlineStr">
        <is>
          <t>e2-standard-2</t>
        </is>
      </c>
      <c r="C3" t="n">
        <v>0.08599999999999999</v>
      </c>
      <c r="D3" t="n">
        <v>0.092</v>
      </c>
    </row>
    <row r="4">
      <c r="A4" t="inlineStr">
        <is>
          <t>중형</t>
        </is>
      </c>
      <c r="B4" t="inlineStr">
        <is>
          <t>e2-standard-4</t>
        </is>
      </c>
      <c r="C4" t="n">
        <v>0.172</v>
      </c>
      <c r="D4" t="n">
        <v>0.184</v>
      </c>
    </row>
    <row r="5">
      <c r="A5" t="inlineStr">
        <is>
          <t>대형</t>
        </is>
      </c>
      <c r="B5" t="inlineStr">
        <is>
          <t>e2-standard-8</t>
        </is>
      </c>
      <c r="C5" t="n">
        <v>0.344</v>
      </c>
      <c r="D5" t="n">
        <v>0.368</v>
      </c>
    </row>
    <row r="6">
      <c r="A6" t="inlineStr">
        <is>
          <t>초대형</t>
        </is>
      </c>
      <c r="B6" t="inlineStr">
        <is>
          <t>e2-standard-16</t>
        </is>
      </c>
      <c r="C6" t="n">
        <v>0.6879999999999999</v>
      </c>
      <c r="D6" t="n">
        <v>0.736</v>
      </c>
    </row>
    <row r="8">
      <c r="A8" s="26" t="inlineStr">
        <is>
          <t>[Cloud SQL] — asia-northeast3 기준 On-Demand (USD/시간)</t>
        </is>
      </c>
    </row>
    <row r="9">
      <c r="A9" s="27" t="inlineStr">
        <is>
          <t>규모</t>
        </is>
      </c>
      <c r="B9" s="27" t="inlineStr">
        <is>
          <t>스펙</t>
        </is>
      </c>
      <c r="C9" s="27" t="inlineStr">
        <is>
          <t>Base단가</t>
        </is>
      </c>
      <c r="D9" s="27" t="inlineStr">
        <is>
          <t>MSSQL추가단가</t>
        </is>
      </c>
    </row>
    <row r="10">
      <c r="A10" t="inlineStr">
        <is>
          <t>소형</t>
        </is>
      </c>
      <c r="B10" t="inlineStr">
        <is>
          <t>db-n1-standard-2</t>
        </is>
      </c>
      <c r="C10" t="n">
        <v>0.149</v>
      </c>
      <c r="D10" t="n">
        <v>0.298</v>
      </c>
    </row>
    <row r="11">
      <c r="A11" t="inlineStr">
        <is>
          <t>중형</t>
        </is>
      </c>
      <c r="B11" t="inlineStr">
        <is>
          <t>db-n1-standard-4</t>
        </is>
      </c>
      <c r="C11" t="n">
        <v>0.298</v>
      </c>
      <c r="D11" t="n">
        <v>0.596</v>
      </c>
    </row>
    <row r="12">
      <c r="A12" t="inlineStr">
        <is>
          <t>대형</t>
        </is>
      </c>
      <c r="B12" t="inlineStr">
        <is>
          <t>db-n1-standard-8</t>
        </is>
      </c>
      <c r="C12" t="n">
        <v>0.596</v>
      </c>
      <c r="D12" t="n">
        <v>1.192</v>
      </c>
    </row>
    <row r="14">
      <c r="A14" s="26" t="inlineStr">
        <is>
          <t>[기타 서비스] — USD 단가</t>
        </is>
      </c>
    </row>
    <row r="15">
      <c r="A15" s="27" t="inlineStr">
        <is>
          <t>항목</t>
        </is>
      </c>
      <c r="B15" s="27" t="inlineStr">
        <is>
          <t>단가</t>
        </is>
      </c>
      <c r="C15" s="27" t="inlineStr"/>
      <c r="D15" s="27" t="inlineStr"/>
    </row>
    <row r="16">
      <c r="A16" t="inlineStr">
        <is>
          <t>Storage Standard</t>
        </is>
      </c>
      <c r="B16" t="n">
        <v>0.023</v>
      </c>
      <c r="C16" t="inlineStr"/>
      <c r="D16" t="inlineStr"/>
    </row>
    <row r="17">
      <c r="A17" t="inlineStr">
        <is>
          <t>Storage Snapshot</t>
        </is>
      </c>
      <c r="B17" t="n">
        <v>0.026</v>
      </c>
      <c r="C17" t="inlineStr"/>
      <c r="D17" t="inlineStr"/>
    </row>
    <row r="18">
      <c r="A18" t="inlineStr">
        <is>
          <t>Network Egress</t>
        </is>
      </c>
      <c r="B18" t="n">
        <v>0.12</v>
      </c>
      <c r="C18" t="inlineStr"/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2026-04-06T04:00:40Z</dcterms:created>
  <dcterms:modified xsi:type="dcterms:W3CDTF">2026-04-06T04:00:40Z</dcterms:modified>
</cp:coreProperties>
</file>